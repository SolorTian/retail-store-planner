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空白表" sheetId="1" r:id="rId1"/>
  </sheets>
  <definedNames>
    <definedName name="_xlnm.Print_Area" localSheetId="0">空白表!$A$1:$M$32</definedName>
  </definedName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rgb="FF000000"/>
      <name val="標楷體"/>
    </font>
    <font>
      <sz val="18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1"/>
      <color rgb="FF000000"/>
      <name val="標楷體"/>
      <family val="4"/>
      <charset val="136"/>
    </font>
    <font>
      <b/>
      <sz val="18"/>
      <color rgb="FFFF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name val="標楷體"/>
      <family val="4"/>
      <charset val="136"/>
    </font>
    <font>
      <sz val="11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22"/>
      <color rgb="FF000000"/>
      <name val="標楷體"/>
      <family val="4"/>
      <charset val="136"/>
    </font>
    <font>
      <sz val="20"/>
      <color rgb="FF000000"/>
      <name val="標楷體"/>
      <family val="4"/>
      <charset val="136"/>
    </font>
    <font>
      <sz val="20"/>
      <color rgb="FFFF0000"/>
      <name val="標楷體"/>
      <family val="4"/>
      <charset val="136"/>
    </font>
    <font>
      <sz val="20"/>
      <name val="標楷體"/>
      <family val="4"/>
      <charset val="136"/>
    </font>
    <font>
      <sz val="22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9EEED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>
      <alignment vertical="center"/>
    </xf>
    <xf numFmtId="0" fontId="2" fillId="0" borderId="0"/>
  </cellStyleXfs>
  <cellXfs count="15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right" vertical="center" wrapText="1"/>
    </xf>
    <xf numFmtId="0" fontId="4" fillId="2" borderId="19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10" fontId="0" fillId="2" borderId="18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left" vertical="center"/>
    </xf>
    <xf numFmtId="14" fontId="4" fillId="7" borderId="11" xfId="0" applyNumberFormat="1" applyFont="1" applyFill="1" applyBorder="1" applyAlignment="1">
      <alignment vertical="center" wrapText="1"/>
    </xf>
    <xf numFmtId="2" fontId="4" fillId="7" borderId="11" xfId="0" applyNumberFormat="1" applyFont="1" applyFill="1" applyBorder="1" applyAlignment="1">
      <alignment horizontal="right" vertical="center"/>
    </xf>
    <xf numFmtId="0" fontId="4" fillId="7" borderId="11" xfId="0" applyFont="1" applyFill="1" applyBorder="1" applyAlignment="1">
      <alignment horizontal="center" vertical="center"/>
    </xf>
    <xf numFmtId="2" fontId="4" fillId="7" borderId="11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right" vertical="center"/>
    </xf>
    <xf numFmtId="0" fontId="4" fillId="7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2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 vertical="center" wrapText="1"/>
    </xf>
    <xf numFmtId="0" fontId="18" fillId="2" borderId="19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24" xfId="0" applyFont="1" applyFill="1" applyBorder="1" applyAlignment="1">
      <alignment vertical="center"/>
    </xf>
    <xf numFmtId="0" fontId="18" fillId="2" borderId="25" xfId="0" applyFont="1" applyFill="1" applyBorder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left" vertical="center" wrapText="1"/>
    </xf>
    <xf numFmtId="0" fontId="4" fillId="7" borderId="22" xfId="0" applyFont="1" applyFill="1" applyBorder="1" applyAlignment="1">
      <alignment horizontal="left" vertical="center" wrapText="1"/>
    </xf>
    <xf numFmtId="0" fontId="4" fillId="7" borderId="2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0" fillId="2" borderId="15" xfId="0" applyFill="1" applyBorder="1" applyAlignment="1">
      <alignment horizontal="right" vertical="center" wrapText="1"/>
    </xf>
    <xf numFmtId="0" fontId="0" fillId="2" borderId="16" xfId="0" applyFill="1" applyBorder="1" applyAlignment="1">
      <alignment horizontal="right" vertical="center" wrapText="1"/>
    </xf>
    <xf numFmtId="0" fontId="0" fillId="2" borderId="17" xfId="0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5" borderId="0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4" fillId="2" borderId="26" xfId="0" applyFont="1" applyFill="1" applyBorder="1" applyAlignment="1">
      <alignment horizontal="right" vertical="center" wrapText="1"/>
    </xf>
    <xf numFmtId="0" fontId="14" fillId="2" borderId="22" xfId="0" applyFont="1" applyFill="1" applyBorder="1" applyAlignment="1">
      <alignment horizontal="right" vertical="center" wrapText="1"/>
    </xf>
    <xf numFmtId="0" fontId="14" fillId="2" borderId="23" xfId="0" applyFont="1" applyFill="1" applyBorder="1" applyAlignment="1">
      <alignment horizontal="righ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2" xr:uid="{F6ED8C8D-6BDE-4F3E-AEAD-4A3C0EB79F71}"/>
    <cellStyle name="百分比" xfId="1" builtinId="5"/>
  </cellStyles>
  <dxfs count="0"/>
  <tableStyles count="0" defaultTableStyle="TableStyleMedium9"/>
  <colors>
    <mruColors>
      <color rgb="FFFFFFCC"/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360707</xdr:colOff>
      <xdr:row>109</xdr:row>
      <xdr:rowOff>189257</xdr:rowOff>
    </xdr:from>
    <xdr:to>
      <xdr:col>10</xdr:col>
      <xdr:colOff>341243</xdr:colOff>
      <xdr:row>111</xdr:row>
      <xdr:rowOff>76200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18FA3E1-7B1B-4512-BA12-49CB90F230AE}"/>
            </a:ext>
          </a:extLst>
        </xdr:cNvPr>
        <xdr:cNvCxnSpPr/>
      </xdr:nvCxnSpPr>
      <xdr:spPr>
        <a:xfrm flipH="1">
          <a:off x="11647832" y="33793457"/>
          <a:ext cx="1218786" cy="3060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A1:M42"/>
  <sheetViews>
    <sheetView tabSelected="1" view="pageBreakPreview" zoomScale="70" zoomScaleNormal="100" zoomScaleSheetLayoutView="70" workbookViewId="0">
      <selection activeCell="B4" sqref="B4:D5"/>
    </sheetView>
  </sheetViews>
  <sheetFormatPr defaultRowHeight="16.5" x14ac:dyDescent="0.25"/>
  <cols>
    <col min="1" max="1" width="25.25" style="1" customWidth="1"/>
    <col min="2" max="2" width="37.5" style="1" customWidth="1"/>
    <col min="3" max="3" width="51.625" style="1" customWidth="1"/>
    <col min="4" max="4" width="28" style="1" customWidth="1"/>
    <col min="5" max="5" width="16.75" style="1" customWidth="1"/>
    <col min="6" max="6" width="15" style="1" customWidth="1"/>
    <col min="7" max="7" width="16.625" style="1" customWidth="1"/>
    <col min="8" max="9" width="6.5" style="1" customWidth="1"/>
    <col min="10" max="10" width="9.75" style="1" customWidth="1"/>
    <col min="11" max="11" width="15.875" style="1" customWidth="1"/>
    <col min="12" max="12" width="10.125" style="1" customWidth="1"/>
    <col min="13" max="13" width="11.5" style="1" customWidth="1"/>
    <col min="14" max="16384" width="9" style="1"/>
  </cols>
  <sheetData>
    <row r="1" spans="1:13" ht="33" customHeight="1" x14ac:dyDescent="0.25">
      <c r="A1" s="145" t="inlineStr">
        <is>
          <t>訪銷日誌暨費用申請表</t>
        </is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52"/>
    </row>
    <row r="2" spans="1:13" ht="38.25" customHeight="1" x14ac:dyDescent="0.25">
      <c r="A2" s="50"/>
      <c r="B2" s="50"/>
      <c r="C2" s="50"/>
      <c r="D2" s="16"/>
      <c r="E2" s="16"/>
      <c r="F2" s="7"/>
      <c r="H2" s="114" t="inlineStr">
        <is>
          <t>本月份平均油價:</t>
          <phoneticPr fontId="3" type="noConversion"/>
        </is>
      </c>
      <c r="I2" s="114"/>
      <c r="J2" s="114"/>
      <c r="K2" s="114"/>
      <c r="L2" s="28"/>
      <c r="M2" s="29" t="inlineStr">
        <is>
          <t>元</t>
          <phoneticPr fontId="3" type="noConversion"/>
        </is>
      </c>
    </row>
    <row r="3" spans="1:13" x14ac:dyDescent="0.25">
      <c r="A3" s="50"/>
      <c r="B3" s="50"/>
      <c r="C3" s="50"/>
      <c r="D3" s="16"/>
      <c r="E3" s="16"/>
      <c r="F3" s="36"/>
      <c r="G3" s="51"/>
      <c r="H3" s="51"/>
      <c r="I3" s="51"/>
      <c r="J3" s="51"/>
      <c r="K3" s="51"/>
      <c r="L3" s="51"/>
      <c r="M3" s="51"/>
    </row>
    <row r="4" spans="1:13" s="53" customFormat="1" ht="60" customHeight="1" x14ac:dyDescent="0.25">
      <c r="A4" s="146" t="inlineStr">
        <is>
          <t>日期</t>
        </is>
      </c>
      <c r="B4" s="146" t="inlineStr">
        <is>
          <t>起迄地點</t>
          <phoneticPr fontId="3" type="noConversion"/>
        </is>
      </c>
      <c r="C4" s="146"/>
      <c r="D4" s="146"/>
      <c r="E4" s="147" t="inlineStr">
        <is>
          <t>里程數(公里)</t>
        </is>
      </c>
      <c r="F4" s="148" t="inlineStr">
        <is>
          <t>自備車輛
里程</t>
          <phoneticPr fontId="3" type="noConversion"/>
        </is>
      </c>
      <c r="G4" s="144" t="inlineStr">
        <is>
          <t>當日超過100公里由單位主管審核簽章</t>
          <phoneticPr fontId="3" type="noConversion"/>
        </is>
      </c>
      <c r="H4" s="144" t="inlineStr">
        <is>
          <t>車輛種類(請打V)</t>
          <phoneticPr fontId="3" type="noConversion"/>
        </is>
      </c>
      <c r="I4" s="144"/>
      <c r="J4" s="144"/>
      <c r="K4" s="144" t="inlineStr">
        <is>
          <t>油料費
(A)</t>
          <phoneticPr fontId="3" type="noConversion"/>
        </is>
      </c>
      <c r="L4" s="144" t="inlineStr">
        <is>
          <t>etag費用
(B)</t>
          <phoneticPr fontId="3" type="noConversion"/>
        </is>
      </c>
      <c r="M4" s="144" t="inlineStr">
        <is>
          <t>其他訪銷雜支費用(C)</t>
          <phoneticPr fontId="3" type="noConversion"/>
        </is>
      </c>
    </row>
    <row r="5" spans="1:13" s="53" customFormat="1" ht="60" customHeight="1" x14ac:dyDescent="0.25">
      <c r="A5" s="146"/>
      <c r="B5" s="146"/>
      <c r="C5" s="146"/>
      <c r="D5" s="146"/>
      <c r="E5" s="147"/>
      <c r="F5" s="148"/>
      <c r="G5" s="144"/>
      <c r="H5" s="54" t="inlineStr">
        <is>
          <t>機車</t>
          <phoneticPr fontId="3" type="noConversion"/>
        </is>
      </c>
      <c r="I5" s="54" t="inlineStr">
        <is>
          <t>汽車</t>
          <phoneticPr fontId="3" type="noConversion"/>
        </is>
      </c>
      <c r="J5" s="55" t="inlineStr">
        <is>
          <t>公務車輛
(不列油料費用計算)</t>
          <phoneticPr fontId="3" type="noConversion"/>
        </is>
      </c>
      <c r="K5" s="149"/>
      <c r="L5" s="144"/>
      <c r="M5" s="144"/>
    </row>
    <row r="6" spans="1:13" customFormat="1" ht="80.099999999999994" customHeight="1" x14ac:dyDescent="0.4">
      <c r="A6" s="67"/>
      <c r="B6" s="121"/>
      <c r="C6" s="122"/>
      <c r="D6" s="123"/>
      <c r="E6" s="68"/>
      <c r="F6" s="69">
        <f>IF(J6="V",0,IF(OR(I6="V",H6="V"),E6,0))</f>
        <v>0</v>
      </c>
      <c r="G6" s="58"/>
      <c r="H6" s="59"/>
      <c r="I6" s="58"/>
      <c r="J6" s="58"/>
      <c r="K6" s="60">
        <f>IF(H6="V",F6/16*$L$2,IF(I6="V",F6/5*$L$2,0))</f>
        <v>0</v>
      </c>
      <c r="L6" s="70"/>
      <c r="M6" s="70"/>
    </row>
    <row r="7" spans="1:13" customFormat="1" ht="80.099999999999994" customHeight="1" x14ac:dyDescent="0.4">
      <c r="A7" s="67"/>
      <c r="B7" s="121"/>
      <c r="C7" s="122"/>
      <c r="D7" s="123"/>
      <c r="E7" s="68"/>
      <c r="F7" s="69">
        <f>IF(J7="V",0,IF(OR(I7="V",H7="V"),E7,0))</f>
        <v>0</v>
      </c>
      <c r="G7" s="58"/>
      <c r="H7" s="59"/>
      <c r="I7" s="58"/>
      <c r="J7" s="58"/>
      <c r="K7" s="60">
        <f>IF(H7="V",F7/16*$L$2,IF(I7="V",F7/5*$L$2,0))</f>
        <v>0</v>
      </c>
      <c r="L7" s="70"/>
      <c r="M7" s="70"/>
    </row>
    <row r="8" spans="1:13" customFormat="1" ht="80.099999999999994" customHeight="1" x14ac:dyDescent="0.4">
      <c r="A8" s="67"/>
      <c r="B8" s="121"/>
      <c r="C8" s="122"/>
      <c r="D8" s="123"/>
      <c r="E8" s="68"/>
      <c r="F8" s="69">
        <f>IF(J8="V",0,IF(OR(I8="V",H8="V"),E8,0))</f>
        <v>0</v>
      </c>
      <c r="G8" s="58"/>
      <c r="H8" s="59"/>
      <c r="I8" s="58"/>
      <c r="J8" s="58"/>
      <c r="K8" s="60">
        <f>IF(H8="V",F8/16*$L$2,IF(I8="V",F8/5*$L$2,0))</f>
        <v>0</v>
      </c>
      <c r="L8" s="70"/>
      <c r="M8" s="70"/>
    </row>
    <row r="9" spans="1:13" customFormat="1" ht="80.099999999999994" customHeight="1" x14ac:dyDescent="0.4">
      <c r="A9" s="67"/>
      <c r="B9" s="121"/>
      <c r="C9" s="122"/>
      <c r="D9" s="123"/>
      <c r="E9" s="68"/>
      <c r="F9" s="69">
        <f>IF(J9="V",0,IF(OR(I9="V",H9="V"),E9,0))</f>
        <v>0</v>
      </c>
      <c r="G9" s="58"/>
      <c r="H9" s="59"/>
      <c r="I9" s="58"/>
      <c r="J9" s="58"/>
      <c r="K9" s="60">
        <f>IF(H9="V",F9/16*$L$2,IF(I9="V",F9/5*$L$2,0))</f>
        <v>0</v>
      </c>
      <c r="L9" s="70"/>
      <c r="M9" s="70"/>
    </row>
    <row r="10" spans="1:13" customFormat="1" ht="80.099999999999994" customHeight="1" x14ac:dyDescent="0.4">
      <c r="A10" s="67"/>
      <c r="B10" s="121"/>
      <c r="C10" s="122"/>
      <c r="D10" s="123"/>
      <c r="E10" s="68"/>
      <c r="F10" s="69">
        <f>IF(J10="V",0,IF(OR(I10="V",H10="V"),E10,0))</f>
        <v>0</v>
      </c>
      <c r="G10" s="58"/>
      <c r="H10" s="59"/>
      <c r="I10" s="58"/>
      <c r="J10" s="58"/>
      <c r="K10" s="60">
        <f>IF(H10="V",F10/16*$L$2,IF(I10="V",F10/5*$L$2,0))</f>
        <v>0</v>
      </c>
      <c r="L10" s="70"/>
      <c r="M10" s="70"/>
    </row>
    <row r="11" spans="1:13" customFormat="1" ht="80.099999999999994" customHeight="1" x14ac:dyDescent="0.4">
      <c r="A11" s="67"/>
      <c r="B11" s="121"/>
      <c r="C11" s="122"/>
      <c r="D11" s="123"/>
      <c r="E11" s="68"/>
      <c r="F11" s="69">
        <f>IF(J11="V",0,IF(OR(I11="V",H11="V"),E11,0))</f>
        <v>0</v>
      </c>
      <c r="G11" s="58"/>
      <c r="H11" s="59"/>
      <c r="I11" s="58"/>
      <c r="J11" s="58"/>
      <c r="K11" s="60">
        <f>IF(H11="V",F11/16*$L$2,IF(I11="V",F11/5*$L$2,0))</f>
        <v>0</v>
      </c>
      <c r="L11" s="70"/>
      <c r="M11" s="70"/>
    </row>
    <row r="12" spans="1:13" customFormat="1" ht="80.099999999999994" customHeight="1" x14ac:dyDescent="0.4">
      <c r="A12" s="67"/>
      <c r="B12" s="121"/>
      <c r="C12" s="122"/>
      <c r="D12" s="123"/>
      <c r="E12" s="68"/>
      <c r="F12" s="69">
        <f>IF(J12="V",0,IF(OR(I12="V",H12="V"),E12,0))</f>
        <v>0</v>
      </c>
      <c r="G12" s="58"/>
      <c r="H12" s="59"/>
      <c r="I12" s="58"/>
      <c r="J12" s="58"/>
      <c r="K12" s="60">
        <f>IF(H12="V",F12/16*$L$2,IF(I12="V",F12/5*$L$2,0))</f>
        <v>0</v>
      </c>
      <c r="L12" s="70"/>
      <c r="M12" s="70"/>
    </row>
    <row r="13" spans="1:13" customFormat="1" ht="80.099999999999994" customHeight="1" x14ac:dyDescent="0.4">
      <c r="A13" s="67"/>
      <c r="B13" s="121"/>
      <c r="C13" s="122"/>
      <c r="D13" s="123"/>
      <c r="E13" s="68"/>
      <c r="F13" s="69">
        <f>IF(J13="V",0,IF(OR(I13="V",H13="V"),E13,0))</f>
        <v>0</v>
      </c>
      <c r="G13" s="58"/>
      <c r="H13" s="59"/>
      <c r="I13" s="58"/>
      <c r="J13" s="58"/>
      <c r="K13" s="60">
        <f>IF(H13="V",F13/16*$L$2,IF(I13="V",F13/5*$L$2,0))</f>
        <v>0</v>
      </c>
      <c r="L13" s="70"/>
      <c r="M13" s="70"/>
    </row>
    <row r="14" spans="1:13" customFormat="1" ht="80.099999999999994" customHeight="1" x14ac:dyDescent="0.4">
      <c r="A14" s="67"/>
      <c r="B14" s="121"/>
      <c r="C14" s="122"/>
      <c r="D14" s="123"/>
      <c r="E14" s="68"/>
      <c r="F14" s="69">
        <f>IF(J14="V",0,IF(OR(I14="V",H14="V"),E14,0))</f>
        <v>0</v>
      </c>
      <c r="G14" s="58"/>
      <c r="H14" s="59"/>
      <c r="I14" s="58"/>
      <c r="J14" s="58"/>
      <c r="K14" s="60">
        <f>IF(H14="V",F14/16*$L$2,IF(I14="V",F14/5*$L$2,0))</f>
        <v>0</v>
      </c>
      <c r="L14" s="70"/>
      <c r="M14" s="70"/>
    </row>
    <row r="15" spans="1:13" customFormat="1" ht="80.099999999999994" customHeight="1" x14ac:dyDescent="0.4">
      <c r="A15" s="67"/>
      <c r="B15" s="121"/>
      <c r="C15" s="122"/>
      <c r="D15" s="123"/>
      <c r="E15" s="68"/>
      <c r="F15" s="69">
        <f>IF(J15="V",0,IF(OR(I15="V",H15="V"),E15,0))</f>
        <v>0</v>
      </c>
      <c r="G15" s="58"/>
      <c r="H15" s="59"/>
      <c r="I15" s="58"/>
      <c r="J15" s="58"/>
      <c r="K15" s="60">
        <f>IF(H15="V",F15/16*$L$2,IF(I15="V",F15/5*$L$2,0))</f>
        <v>0</v>
      </c>
      <c r="L15" s="70"/>
      <c r="M15" s="70"/>
    </row>
    <row r="16" spans="1:13" customFormat="1" ht="80.099999999999994" customHeight="1" x14ac:dyDescent="0.4">
      <c r="A16" s="67"/>
      <c r="B16" s="121"/>
      <c r="C16" s="122"/>
      <c r="D16" s="123"/>
      <c r="E16" s="68"/>
      <c r="F16" s="69">
        <f>IF(J16="V",0,IF(OR(I16="V",H16="V"),E16,0))</f>
        <v>0</v>
      </c>
      <c r="G16" s="58"/>
      <c r="H16" s="59"/>
      <c r="I16" s="58"/>
      <c r="J16" s="58"/>
      <c r="K16" s="60">
        <f>IF(H16="V",F16/16*$L$2,IF(I16="V",F16/5*$L$2,0))</f>
        <v>0</v>
      </c>
      <c r="L16" s="70"/>
      <c r="M16" s="70"/>
    </row>
    <row r="17" spans="1:13" customFormat="1" ht="80.099999999999994" customHeight="1" x14ac:dyDescent="0.4">
      <c r="A17" s="67"/>
      <c r="B17" s="121"/>
      <c r="C17" s="122"/>
      <c r="D17" s="123"/>
      <c r="E17" s="68"/>
      <c r="F17" s="69">
        <f>IF(J17="V",0,IF(OR(I17="V",H17="V"),E17,0))</f>
        <v>0</v>
      </c>
      <c r="G17" s="58"/>
      <c r="H17" s="59"/>
      <c r="I17" s="58"/>
      <c r="J17" s="58"/>
      <c r="K17" s="60">
        <f>IF(H17="V",F17/16*$L$2,IF(I17="V",F17/5*$L$2,0))</f>
        <v>0</v>
      </c>
      <c r="L17" s="70"/>
      <c r="M17" s="70"/>
    </row>
    <row r="18" spans="1:13" customFormat="1" ht="80.099999999999994" customHeight="1" x14ac:dyDescent="0.4">
      <c r="A18" s="67"/>
      <c r="B18" s="121"/>
      <c r="C18" s="122"/>
      <c r="D18" s="123"/>
      <c r="E18" s="68"/>
      <c r="F18" s="69">
        <f>IF(J18="V",0,IF(OR(I18="V",H18="V"),E18,0))</f>
        <v>0</v>
      </c>
      <c r="G18" s="58"/>
      <c r="H18" s="59"/>
      <c r="I18" s="58"/>
      <c r="J18" s="58"/>
      <c r="K18" s="60">
        <f>IF(H18="V",F18/16*$L$2,IF(I18="V",F18/5*$L$2,0))</f>
        <v>0</v>
      </c>
      <c r="L18" s="70"/>
      <c r="M18" s="70"/>
    </row>
    <row r="19" spans="1:13" customFormat="1" ht="80.099999999999994" customHeight="1" x14ac:dyDescent="0.4">
      <c r="A19" s="67"/>
      <c r="B19" s="121"/>
      <c r="C19" s="122"/>
      <c r="D19" s="123"/>
      <c r="E19" s="68"/>
      <c r="F19" s="69">
        <f>IF(J19="V",0,IF(OR(I19="V",H19="V"),E19,0))</f>
        <v>0</v>
      </c>
      <c r="G19" s="58"/>
      <c r="H19" s="59"/>
      <c r="I19" s="58"/>
      <c r="J19" s="58"/>
      <c r="K19" s="60">
        <f>IF(H19="V",F19/16*$L$2,IF(I19="V",F19/5*$L$2,0))</f>
        <v>0</v>
      </c>
      <c r="L19" s="70"/>
      <c r="M19" s="70"/>
    </row>
    <row r="20" spans="1:13" customFormat="1" ht="80.099999999999994" customHeight="1" x14ac:dyDescent="0.4">
      <c r="A20" s="67"/>
      <c r="B20" s="121"/>
      <c r="C20" s="122"/>
      <c r="D20" s="123"/>
      <c r="E20" s="68"/>
      <c r="F20" s="69">
        <f>IF(J20="V",0,IF(OR(I20="V",H20="V"),E20,0))</f>
        <v>0</v>
      </c>
      <c r="G20" s="58"/>
      <c r="H20" s="59"/>
      <c r="I20" s="58"/>
      <c r="J20" s="58"/>
      <c r="K20" s="60">
        <f>IF(H20="V",F20/16*$L$2,IF(I20="V",F20/5*$L$2,0))</f>
        <v>0</v>
      </c>
      <c r="L20" s="70"/>
      <c r="M20" s="70"/>
    </row>
    <row r="21" spans="1:13" customFormat="1" ht="80.099999999999994" customHeight="1" x14ac:dyDescent="0.4">
      <c r="A21" s="67"/>
      <c r="B21" s="121"/>
      <c r="C21" s="122"/>
      <c r="D21" s="123"/>
      <c r="E21" s="68"/>
      <c r="F21" s="69">
        <f>IF(J21="V",0,IF(OR(I21="V",H21="V"),E21,0))</f>
        <v>0</v>
      </c>
      <c r="G21" s="58"/>
      <c r="H21" s="59"/>
      <c r="I21" s="58"/>
      <c r="J21" s="58"/>
      <c r="K21" s="60">
        <f>IF(H21="V",F21/16*$L$2,IF(I21="V",F21/5*$L$2,0))</f>
        <v>0</v>
      </c>
      <c r="L21" s="70"/>
      <c r="M21" s="70"/>
    </row>
    <row r="22" spans="1:13" customFormat="1" ht="80.099999999999994" customHeight="1" x14ac:dyDescent="0.4">
      <c r="A22" s="67"/>
      <c r="B22" s="121"/>
      <c r="C22" s="122"/>
      <c r="D22" s="123"/>
      <c r="E22" s="68"/>
      <c r="F22" s="69">
        <f>IF(J22="V",0,IF(OR(I22="V",H22="V"),E22,0))</f>
        <v>0</v>
      </c>
      <c r="G22" s="58"/>
      <c r="H22" s="59"/>
      <c r="I22" s="58"/>
      <c r="J22" s="58"/>
      <c r="K22" s="60">
        <f>IF(H22="V",F22/16*$L$2,IF(I22="V",F22/5*$L$2,0))</f>
        <v>0</v>
      </c>
      <c r="L22" s="70"/>
      <c r="M22" s="70"/>
    </row>
    <row r="23" spans="1:13" customFormat="1" ht="80.099999999999994" customHeight="1" thickBot="1" x14ac:dyDescent="0.45">
      <c r="A23" s="67"/>
      <c r="B23" s="121"/>
      <c r="C23" s="122"/>
      <c r="D23" s="123"/>
      <c r="E23" s="68"/>
      <c r="F23" s="69">
        <f>IF(J23="V",0,IF(OR(I23="V",H23="V"),E23,0))</f>
        <v>0</v>
      </c>
      <c r="G23" s="58"/>
      <c r="H23" s="59"/>
      <c r="I23" s="58"/>
      <c r="J23" s="58"/>
      <c r="K23" s="60">
        <f>IF(H23="V",F23/16*$L$2,IF(I23="V",F23/5*$L$2,0))</f>
        <v>0</v>
      </c>
      <c r="L23" s="70"/>
      <c r="M23" s="70"/>
    </row>
    <row r="24" spans="1:13" customFormat="1" ht="80.099999999999994" customHeight="1" thickBot="1" x14ac:dyDescent="0.3">
      <c r="A24" s="127" t="inlineStr">
        <is>
          <t>原始總里程(僅列計自備車輛里程)</t>
          <phoneticPr fontId="3" type="noConversion"/>
        </is>
      </c>
      <c r="B24" s="128"/>
      <c r="C24" s="128"/>
      <c r="D24" s="128"/>
      <c r="E24" s="129"/>
      <c r="F24" s="61">
        <f>SUM(F3:F23)</f>
        <v>0</v>
      </c>
      <c r="G24" s="62"/>
      <c r="H24" s="63"/>
      <c r="I24" s="63"/>
      <c r="J24" s="63"/>
      <c r="K24" s="63"/>
      <c r="L24" s="64"/>
      <c r="M24" s="65"/>
    </row>
    <row r="25" spans="1:13" customFormat="1" ht="80.099999999999994" customHeight="1" x14ac:dyDescent="0.25">
      <c r="A25" s="30"/>
      <c r="B25" s="100"/>
      <c r="C25" s="101"/>
      <c r="D25" s="101"/>
      <c r="E25" s="102"/>
      <c r="F25" s="31">
        <f>IF(J25="V",0,IF(I25="V",E25,IF(H25="V",E25)))</f>
        <v>0</v>
      </c>
      <c r="G25" s="38"/>
      <c r="H25" s="38"/>
      <c r="I25" s="38"/>
      <c r="J25" s="38"/>
      <c r="K25" s="33">
        <f>IF(H25="V",F25/16*$L$2,IF(I25="V",F25/5*$L$2,0))</f>
        <v>0</v>
      </c>
      <c r="L25" s="38"/>
      <c r="M25" s="38"/>
    </row>
    <row r="26" spans="1:13" customFormat="1" ht="106.5" customHeight="1" thickBot="1" x14ac:dyDescent="0.3">
      <c r="A26" s="30"/>
      <c r="B26" s="90"/>
      <c r="C26" s="91"/>
      <c r="D26" s="91"/>
      <c r="E26" s="92"/>
      <c r="F26" s="31">
        <f>IF(J26="V",0,IF(I26="V",E26,IF(H26="V",E26)))</f>
        <v>0</v>
      </c>
      <c r="G26" s="35"/>
      <c r="H26" s="35"/>
      <c r="I26" s="35"/>
      <c r="J26" s="35"/>
      <c r="K26" s="33">
        <f>IF(H26="V",F26/16*$L$2,IF(I26="V",F26/5*$L$2,0))</f>
        <v>0</v>
      </c>
      <c r="L26" s="35"/>
      <c r="M26" s="35"/>
    </row>
    <row r="27" spans="1:13" customFormat="1" ht="80.099999999999994" customHeight="1" thickBot="1" x14ac:dyDescent="0.3">
      <c r="A27" s="107" t="inlineStr">
        <is>
          <t>調整之里程占比</t>
          <phoneticPr fontId="3" type="noConversion"/>
        </is>
      </c>
      <c r="B27" s="108"/>
      <c r="C27" s="108"/>
      <c r="D27" s="108"/>
      <c r="E27" s="109"/>
      <c r="F27" s="24">
        <f>SUM(F25:F26)/F24</f>
        <v>0</v>
      </c>
      <c r="G27" s="21"/>
      <c r="H27" s="22"/>
      <c r="I27" s="22"/>
      <c r="J27" s="22"/>
      <c r="K27" s="22"/>
      <c r="L27" s="22"/>
      <c r="M27" s="23"/>
    </row>
    <row r="28" spans="1:13" customFormat="1" ht="80.099999999999994" customHeight="1" x14ac:dyDescent="0.25">
      <c r="A28" s="130" t="inlineStr">
        <is>
          <t>備註：
1.申請人自後台下載油資總表後，依報表紀錄填寫此申請表，如需調整里程數者，請詳註調整原因。(調整總數以當月「自備車輛」總里程數5%為上限)
2.自備車輛油料補助：汽車為5公里/公升，機車為16公里/公升。
3.申請etag費用及其他訪銷雜支費用項目，應檢附相關證明，並由主管簽核。
4.使用公務車輛執行訪銷作業者，該段里程不予提供油料補助費用。
5.各營業處(所)應辦理不定期抽查，經查證後如屬提報不實情況，除依相關規定議處外，亦應追討相關補助費用。</t>
          <phoneticPr fontId="3" type="noConversion"/>
        </is>
      </c>
      <c r="B28" s="131"/>
      <c r="C28" s="131"/>
      <c r="D28" s="131"/>
      <c r="E28" s="131"/>
      <c r="F28" s="131"/>
      <c r="G28" s="131"/>
      <c r="H28" s="132"/>
      <c r="I28" s="139" t="inlineStr">
        <is>
          <t>油料費總計(A)</t>
          <phoneticPr fontId="3" type="noConversion"/>
        </is>
      </c>
      <c r="J28" s="139"/>
      <c r="K28" s="139"/>
      <c r="L28" s="139"/>
      <c r="M28" s="56">
        <f>SUM(K6:K26)</f>
        <v>0</v>
      </c>
    </row>
    <row r="29" spans="1:13" customFormat="1" ht="80.099999999999994" customHeight="1" x14ac:dyDescent="0.25">
      <c r="A29" s="133"/>
      <c r="B29" s="134"/>
      <c r="C29" s="134"/>
      <c r="D29" s="134"/>
      <c r="E29" s="134"/>
      <c r="F29" s="134"/>
      <c r="G29" s="134"/>
      <c r="H29" s="135"/>
      <c r="I29" s="140" t="inlineStr">
        <is>
          <t>etag費用總計(B)</t>
          <phoneticPr fontId="3" type="noConversion"/>
        </is>
      </c>
      <c r="J29" s="141"/>
      <c r="K29" s="141"/>
      <c r="L29" s="142"/>
      <c r="M29" s="54">
        <f>SUM(L6:L26)</f>
        <v>0</v>
      </c>
    </row>
    <row r="30" spans="1:13" customFormat="1" ht="80.099999999999994" customHeight="1" x14ac:dyDescent="0.25">
      <c r="A30" s="133"/>
      <c r="B30" s="134"/>
      <c r="C30" s="134"/>
      <c r="D30" s="134"/>
      <c r="E30" s="134"/>
      <c r="F30" s="134"/>
      <c r="G30" s="134"/>
      <c r="H30" s="135"/>
      <c r="I30" s="140" t="inlineStr">
        <is>
          <t>其他訪銷雜支費用總計(C)</t>
          <phoneticPr fontId="3" type="noConversion"/>
        </is>
      </c>
      <c r="J30" s="141"/>
      <c r="K30" s="141"/>
      <c r="L30" s="142"/>
      <c r="M30" s="54">
        <f>SUM(M6:M26)</f>
        <v>0</v>
      </c>
    </row>
    <row r="31" spans="1:13" customFormat="1" ht="97.5" customHeight="1" x14ac:dyDescent="0.25">
      <c r="A31" s="136"/>
      <c r="B31" s="137"/>
      <c r="C31" s="137"/>
      <c r="D31" s="137"/>
      <c r="E31" s="137"/>
      <c r="F31" s="137"/>
      <c r="G31" s="137"/>
      <c r="H31" s="138"/>
      <c r="I31" s="143" t="inlineStr">
        <is>
          <t>本次申請費用加總(D=A+B+C)</t>
          <phoneticPr fontId="3" type="noConversion"/>
        </is>
      </c>
      <c r="J31" s="143"/>
      <c r="K31" s="143"/>
      <c r="L31" s="143"/>
      <c r="M31" s="57">
        <f>SUM(M28:M30)</f>
        <v>0</v>
      </c>
    </row>
    <row r="32" spans="1:13" customFormat="1" ht="97.5" customHeight="1" x14ac:dyDescent="0.25">
      <c r="A32" s="124" t="inlineStr">
        <is>
          <t xml:space="preserve">申請人                                                      承辦人                                            單位主管                          </t>
          <phoneticPr fontId="3" type="noConversion"/>
        </is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6"/>
    </row>
    <row r="33" spans="1:13" customFormat="1" ht="80.099999999999994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s="66" customFormat="1" ht="30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s="6" customFormat="1" ht="4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6" customFormat="1" ht="4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3.1" customHeight="1" x14ac:dyDescent="0.25"/>
    <row r="38" spans="1:13" ht="47.25" customHeight="1" x14ac:dyDescent="0.25"/>
    <row r="39" spans="1:13" ht="42.75" customHeight="1" x14ac:dyDescent="0.25"/>
    <row r="40" spans="1:13" ht="53.25" customHeight="1" x14ac:dyDescent="0.25"/>
    <row r="41" spans="1:13" ht="59.25" customHeight="1" x14ac:dyDescent="0.25"/>
    <row r="42" spans="1:13" ht="50.25" customHeight="1" x14ac:dyDescent="0.25"/>
  </sheetData>
  <mergeCells count="39">
    <mergeCell ref="B9:D9"/>
    <mergeCell ref="B10:D10"/>
    <mergeCell ref="B11:D11"/>
    <mergeCell ref="B12:D12"/>
    <mergeCell ref="B13:D13"/>
    <mergeCell ref="B22:D22"/>
    <mergeCell ref="B23:D23"/>
    <mergeCell ref="B14:D14"/>
    <mergeCell ref="B15:D15"/>
    <mergeCell ref="B16:D16"/>
    <mergeCell ref="B17:D17"/>
    <mergeCell ref="B18:D18"/>
    <mergeCell ref="M4:M5"/>
    <mergeCell ref="A1:L1"/>
    <mergeCell ref="H2:K2"/>
    <mergeCell ref="A4:A5"/>
    <mergeCell ref="B4:D5"/>
    <mergeCell ref="E4:E5"/>
    <mergeCell ref="F4:F5"/>
    <mergeCell ref="G4:G5"/>
    <mergeCell ref="H4:J4"/>
    <mergeCell ref="K4:K5"/>
    <mergeCell ref="L4:L5"/>
    <mergeCell ref="B6:D6"/>
    <mergeCell ref="A32:M32"/>
    <mergeCell ref="A24:E24"/>
    <mergeCell ref="B25:E25"/>
    <mergeCell ref="B26:E26"/>
    <mergeCell ref="A27:E27"/>
    <mergeCell ref="A28:H31"/>
    <mergeCell ref="I28:L28"/>
    <mergeCell ref="I29:L29"/>
    <mergeCell ref="I30:L30"/>
    <mergeCell ref="I31:L31"/>
    <mergeCell ref="B7:D7"/>
    <mergeCell ref="B8:D8"/>
    <mergeCell ref="B19:D19"/>
    <mergeCell ref="B20:D20"/>
    <mergeCell ref="B21:D21"/>
  </mergeCells>
  <phoneticPr fontId="3" type="noConversion"/>
  <printOptions horizontalCentered="1" verticalCentered="1"/>
  <pageMargins left="0.25" right="0.25" top="0.75" bottom="0.75" header="0.3" footer="0.3"/>
  <pageSetup paperSize="9" scale="31" orientation="portrait" r:id="rId1"/>
  <drawing r:id="rId2"/>
</worksheet>
</file>