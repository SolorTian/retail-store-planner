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bb062877e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請表" sheetId="1" r:id="Rb32ce1ff78a04f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0.0"/>
    <x:numFmt numFmtId="202" formatCode="#,##0.00"/>
    <x:numFmt numFmtId="203" formatCode="0.00"/>
    <x:numFmt numFmtId="204" formatCode="yyyy-mm-dd"/>
  </x:numFmts>
  <x:fonts count="6">
    <x:font>
      <x:sz val="11"/>
      <x:name val="Carlito"/>
    </x:font>
    <x:font>
      <x:sz val="11"/>
      <x:name val="Microsoft JhengHei"/>
    </x:font>
    <x:font>
      <x:sz val="10"/>
      <x:name val="Microsoft JhengHei"/>
    </x:font>
    <x:font>
      <x:sz val="16"/>
      <x:name val="Microsoft JhengHei"/>
    </x:font>
    <x:font>
      <x:b/>
      <x:sz val="16"/>
      <x:name val="Microsoft JhengHei"/>
    </x:font>
    <x:font>
      <x:b/>
      <x:sz val="10"/>
      <x:name val="Microsoft JhengHei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666666"/>
      </x:left>
      <x:right style="thin">
        <x:color rgb="FF666666"/>
      </x:right>
      <x:top style="thin">
        <x:color rgb="FF666666"/>
      </x:top>
      <x:bottom style="thin">
        <x:color rgb="FF666666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/>
    </x:xf>
    <x:xf numFmtId="202" fontId="2" fillId="0" borderId="1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/>
    </x:xf>
    <x:xf numFmtId="204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2fc0b0046346d8" /><Relationship Type="http://schemas.openxmlformats.org/officeDocument/2006/relationships/theme" Target="/xl/theme/theme1.xml" Id="Re3860d205a3041f2" /><Relationship Type="http://schemas.openxmlformats.org/officeDocument/2006/relationships/sharedStrings" Target="/xl/sharedStrings.xml" Id="R094c112eb14a4e1a" /><Relationship Type="http://schemas.openxmlformats.org/officeDocument/2006/relationships/worksheet" Target="/xl/worksheets/sheet1.xml" Id="Rb32ce1ff78a04f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0" hidden="0" customWidth="1"/>
    <x:col min="6" max="6" width="10" hidden="0" customWidth="1"/>
    <x:col min="7" max="7" width="16" hidden="0" customWidth="1"/>
    <x:col min="8" max="8" width="7" hidden="0" customWidth="1"/>
    <x:col min="9" max="9" width="7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</x:cols>
  <x:sheetData>
    <x:row r="1" ht="25" customHeight="1">
      <x:c r="A1" s="6" t="str">
        <x:v>訪銷日誌暨費用申請表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5" customHeight="1">
      <x:c r="A2" s="3" t="str">
        <x:v>姓名：　　　　　部門：</x:v>
      </x:c>
      <x:c r="B2" s="3"/>
      <x:c r="C2" s="3"/>
      <x:c r="D2" s="3"/>
      <x:c r="E2" s="3"/>
      <x:c r="F2" s="3"/>
      <x:c r="G2" s="3"/>
      <x:c r="H2" s="3" t="str">
        <x:v>本月份平均油價:</x:v>
      </x:c>
      <x:c r="I2" s="3"/>
      <x:c r="J2" s="3"/>
      <x:c r="K2" s="3"/>
      <x:c r="L2" s="18"/>
      <x:c r="M2" s="3" t="str">
        <x:v>元</x:v>
      </x:c>
    </x:row>
    <x:row r="3" ht="25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40" customHeight="1">
      <x:c r="A4" s="10" t="str">
        <x:v>日期</x:v>
      </x:c>
      <x:c r="B4" s="10" t="str">
        <x:v>起迄地點</x:v>
      </x:c>
      <x:c r="C4" s="10"/>
      <x:c r="D4" s="10"/>
      <x:c r="E4" s="10" t="str">
        <x:v>里程數(公里)</x:v>
      </x:c>
      <x:c r="F4" s="10" t="str">
        <x:v>自備車輛
里程</x:v>
      </x:c>
      <x:c r="G4" s="10" t="str">
        <x:v>當日超過100公里由單位主管審核簽章</x:v>
      </x:c>
      <x:c r="H4" s="10" t="str">
        <x:v>車輛種類(請打V)</x:v>
      </x:c>
      <x:c r="I4" s="10"/>
      <x:c r="J4" s="10"/>
      <x:c r="K4" s="10" t="str">
        <x:v>油料費
(A)</x:v>
      </x:c>
      <x:c r="L4" s="10" t="str">
        <x:v>etag費用
(B)</x:v>
      </x:c>
      <x:c r="M4" s="10" t="str">
        <x:v>其他訪銷雜支費用(C)</x:v>
      </x:c>
    </x:row>
    <x:row r="5" ht="40" customHeight="1">
      <x:c r="A5" s="10"/>
      <x:c r="B5" s="10"/>
      <x:c r="C5" s="10"/>
      <x:c r="D5" s="10"/>
      <x:c r="E5" s="10"/>
      <x:c r="F5" s="10"/>
      <x:c r="G5" s="10"/>
      <x:c r="H5" s="10" t="str">
        <x:v>機車</x:v>
      </x:c>
      <x:c r="I5" s="10" t="str">
        <x:v>汽車</x:v>
      </x:c>
      <x:c r="J5" s="10" t="str">
        <x:v>公務車輛
(不列油料費用計算)</x:v>
      </x:c>
      <x:c r="K5" s="10"/>
      <x:c r="L5" s="10"/>
      <x:c r="M5" s="10"/>
    </x:row>
    <x:row r="6" ht="53" customHeight="1">
      <x:c r="A6" s="19"/>
      <x:c r="B6" s="12"/>
      <x:c r="C6" s="12"/>
      <x:c r="D6" s="12"/>
      <x:c r="E6" s="15"/>
      <x:c r="F6" s="15" t="n">
        <x:f>IF(J6="V",0,IF(I6="V",E6,IF(H6="V",E6,0)))</x:f>
        <x:v>0</x:v>
      </x:c>
      <x:c r="G6" s="15"/>
      <x:c r="H6" s="11"/>
      <x:c r="I6" s="11"/>
      <x:c r="J6" s="11"/>
      <x:c r="K6" s="16" t="n">
        <x:f>IF(H6="V",F6/16*$L$2,IF(I6="V",F6/5*$L$2,0))</x:f>
        <x:v>0</x:v>
      </x:c>
      <x:c r="L6" s="16"/>
      <x:c r="M6" s="16"/>
    </x:row>
    <x:row r="7" ht="53" customHeight="1">
      <x:c r="A7" s="19"/>
      <x:c r="B7" s="12"/>
      <x:c r="C7" s="12"/>
      <x:c r="D7" s="12"/>
      <x:c r="E7" s="15"/>
      <x:c r="F7" s="15" t="n">
        <x:f>IF(J7="V",0,IF(I7="V",E7,IF(H7="V",E7,0)))</x:f>
        <x:v>0</x:v>
      </x:c>
      <x:c r="G7" s="15"/>
      <x:c r="H7" s="11"/>
      <x:c r="I7" s="11"/>
      <x:c r="J7" s="11"/>
      <x:c r="K7" s="16" t="n">
        <x:f>IF(H7="V",F7/16*$L$2,IF(I7="V",F7/5*$L$2,0))</x:f>
        <x:v>0</x:v>
      </x:c>
      <x:c r="L7" s="16"/>
      <x:c r="M7" s="16"/>
    </x:row>
    <x:row r="8" ht="53" customHeight="1">
      <x:c r="A8" s="19"/>
      <x:c r="B8" s="12"/>
      <x:c r="C8" s="12"/>
      <x:c r="D8" s="12"/>
      <x:c r="E8" s="15"/>
      <x:c r="F8" s="15" t="n">
        <x:f>IF(J8="V",0,IF(I8="V",E8,IF(H8="V",E8,0)))</x:f>
        <x:v>0</x:v>
      </x:c>
      <x:c r="G8" s="15"/>
      <x:c r="H8" s="11"/>
      <x:c r="I8" s="11"/>
      <x:c r="J8" s="11"/>
      <x:c r="K8" s="16" t="n">
        <x:f>IF(H8="V",F8/16*$L$2,IF(I8="V",F8/5*$L$2,0))</x:f>
        <x:v>0</x:v>
      </x:c>
      <x:c r="L8" s="16"/>
      <x:c r="M8" s="16"/>
    </x:row>
    <x:row r="9" ht="53" customHeight="1">
      <x:c r="A9" s="19"/>
      <x:c r="B9" s="12"/>
      <x:c r="C9" s="12"/>
      <x:c r="D9" s="12"/>
      <x:c r="E9" s="15"/>
      <x:c r="F9" s="15" t="n">
        <x:f>IF(J9="V",0,IF(I9="V",E9,IF(H9="V",E9,0)))</x:f>
        <x:v>0</x:v>
      </x:c>
      <x:c r="G9" s="15"/>
      <x:c r="H9" s="11"/>
      <x:c r="I9" s="11"/>
      <x:c r="J9" s="11"/>
      <x:c r="K9" s="16" t="n">
        <x:f>IF(H9="V",F9/16*$L$2,IF(I9="V",F9/5*$L$2,0))</x:f>
        <x:v>0</x:v>
      </x:c>
      <x:c r="L9" s="16"/>
      <x:c r="M9" s="16"/>
    </x:row>
    <x:row r="10" ht="53" customHeight="1">
      <x:c r="A10" s="19"/>
      <x:c r="B10" s="12"/>
      <x:c r="C10" s="12"/>
      <x:c r="D10" s="12"/>
      <x:c r="E10" s="15"/>
      <x:c r="F10" s="15" t="n">
        <x:f>IF(J10="V",0,IF(I10="V",E10,IF(H10="V",E10,0)))</x:f>
        <x:v>0</x:v>
      </x:c>
      <x:c r="G10" s="15"/>
      <x:c r="H10" s="11"/>
      <x:c r="I10" s="11"/>
      <x:c r="J10" s="11"/>
      <x:c r="K10" s="16" t="n">
        <x:f>IF(H10="V",F10/16*$L$2,IF(I10="V",F10/5*$L$2,0))</x:f>
        <x:v>0</x:v>
      </x:c>
      <x:c r="L10" s="16"/>
      <x:c r="M10" s="16"/>
    </x:row>
    <x:row r="11" ht="53" customHeight="1">
      <x:c r="A11" s="19"/>
      <x:c r="B11" s="12"/>
      <x:c r="C11" s="12"/>
      <x:c r="D11" s="12"/>
      <x:c r="E11" s="15"/>
      <x:c r="F11" s="15" t="n">
        <x:f>IF(J11="V",0,IF(I11="V",E11,IF(H11="V",E11,0)))</x:f>
        <x:v>0</x:v>
      </x:c>
      <x:c r="G11" s="15"/>
      <x:c r="H11" s="11"/>
      <x:c r="I11" s="11"/>
      <x:c r="J11" s="11"/>
      <x:c r="K11" s="16" t="n">
        <x:f>IF(H11="V",F11/16*$L$2,IF(I11="V",F11/5*$L$2,0))</x:f>
        <x:v>0</x:v>
      </x:c>
      <x:c r="L11" s="16"/>
      <x:c r="M11" s="16"/>
    </x:row>
    <x:row r="12" ht="53" customHeight="1">
      <x:c r="A12" s="19"/>
      <x:c r="B12" s="12"/>
      <x:c r="C12" s="12"/>
      <x:c r="D12" s="12"/>
      <x:c r="E12" s="15"/>
      <x:c r="F12" s="15" t="n">
        <x:f>IF(J12="V",0,IF(I12="V",E12,IF(H12="V",E12,0)))</x:f>
        <x:v>0</x:v>
      </x:c>
      <x:c r="G12" s="15"/>
      <x:c r="H12" s="11"/>
      <x:c r="I12" s="11"/>
      <x:c r="J12" s="11"/>
      <x:c r="K12" s="16" t="n">
        <x:f>IF(H12="V",F12/16*$L$2,IF(I12="V",F12/5*$L$2,0))</x:f>
        <x:v>0</x:v>
      </x:c>
      <x:c r="L12" s="16"/>
      <x:c r="M12" s="16"/>
    </x:row>
    <x:row r="13" ht="53" customHeight="1">
      <x:c r="A13" s="19"/>
      <x:c r="B13" s="12"/>
      <x:c r="C13" s="12"/>
      <x:c r="D13" s="12"/>
      <x:c r="E13" s="15"/>
      <x:c r="F13" s="15" t="n">
        <x:f>IF(J13="V",0,IF(I13="V",E13,IF(H13="V",E13,0)))</x:f>
        <x:v>0</x:v>
      </x:c>
      <x:c r="G13" s="15"/>
      <x:c r="H13" s="11"/>
      <x:c r="I13" s="11"/>
      <x:c r="J13" s="11"/>
      <x:c r="K13" s="16" t="n">
        <x:f>IF(H13="V",F13/16*$L$2,IF(I13="V",F13/5*$L$2,0))</x:f>
        <x:v>0</x:v>
      </x:c>
      <x:c r="L13" s="16"/>
      <x:c r="M13" s="16"/>
    </x:row>
    <x:row r="14" ht="53" customHeight="1">
      <x:c r="A14" s="19"/>
      <x:c r="B14" s="12"/>
      <x:c r="C14" s="12"/>
      <x:c r="D14" s="12"/>
      <x:c r="E14" s="15"/>
      <x:c r="F14" s="15" t="n">
        <x:f>IF(J14="V",0,IF(I14="V",E14,IF(H14="V",E14,0)))</x:f>
        <x:v>0</x:v>
      </x:c>
      <x:c r="G14" s="15"/>
      <x:c r="H14" s="11"/>
      <x:c r="I14" s="11"/>
      <x:c r="J14" s="11"/>
      <x:c r="K14" s="16" t="n">
        <x:f>IF(H14="V",F14/16*$L$2,IF(I14="V",F14/5*$L$2,0))</x:f>
        <x:v>0</x:v>
      </x:c>
      <x:c r="L14" s="16"/>
      <x:c r="M14" s="16"/>
    </x:row>
    <x:row r="15" ht="53" customHeight="1">
      <x:c r="A15" s="19"/>
      <x:c r="B15" s="12"/>
      <x:c r="C15" s="12"/>
      <x:c r="D15" s="12"/>
      <x:c r="E15" s="15"/>
      <x:c r="F15" s="15" t="n">
        <x:f>IF(J15="V",0,IF(I15="V",E15,IF(H15="V",E15,0)))</x:f>
        <x:v>0</x:v>
      </x:c>
      <x:c r="G15" s="15"/>
      <x:c r="H15" s="11"/>
      <x:c r="I15" s="11"/>
      <x:c r="J15" s="11"/>
      <x:c r="K15" s="16" t="n">
        <x:f>IF(H15="V",F15/16*$L$2,IF(I15="V",F15/5*$L$2,0))</x:f>
        <x:v>0</x:v>
      </x:c>
      <x:c r="L15" s="16"/>
      <x:c r="M15" s="16"/>
    </x:row>
    <x:row r="16" ht="53" customHeight="1">
      <x:c r="A16" s="19"/>
      <x:c r="B16" s="12"/>
      <x:c r="C16" s="12"/>
      <x:c r="D16" s="12"/>
      <x:c r="E16" s="15"/>
      <x:c r="F16" s="15" t="n">
        <x:f>IF(J16="V",0,IF(I16="V",E16,IF(H16="V",E16,0)))</x:f>
        <x:v>0</x:v>
      </x:c>
      <x:c r="G16" s="15"/>
      <x:c r="H16" s="11"/>
      <x:c r="I16" s="11"/>
      <x:c r="J16" s="11"/>
      <x:c r="K16" s="16" t="n">
        <x:f>IF(H16="V",F16/16*$L$2,IF(I16="V",F16/5*$L$2,0))</x:f>
        <x:v>0</x:v>
      </x:c>
      <x:c r="L16" s="16"/>
      <x:c r="M16" s="16"/>
    </x:row>
    <x:row r="17" ht="53" customHeight="1">
      <x:c r="A17" s="19"/>
      <x:c r="B17" s="12"/>
      <x:c r="C17" s="12"/>
      <x:c r="D17" s="12"/>
      <x:c r="E17" s="15"/>
      <x:c r="F17" s="15" t="n">
        <x:f>IF(J17="V",0,IF(I17="V",E17,IF(H17="V",E17,0)))</x:f>
        <x:v>0</x:v>
      </x:c>
      <x:c r="G17" s="15"/>
      <x:c r="H17" s="11"/>
      <x:c r="I17" s="11"/>
      <x:c r="J17" s="11"/>
      <x:c r="K17" s="16" t="n">
        <x:f>IF(H17="V",F17/16*$L$2,IF(I17="V",F17/5*$L$2,0))</x:f>
        <x:v>0</x:v>
      </x:c>
      <x:c r="L17" s="16"/>
      <x:c r="M17" s="16"/>
    </x:row>
    <x:row r="18" ht="53" customHeight="1">
      <x:c r="A18" s="19"/>
      <x:c r="B18" s="12"/>
      <x:c r="C18" s="12"/>
      <x:c r="D18" s="12"/>
      <x:c r="E18" s="15"/>
      <x:c r="F18" s="15" t="n">
        <x:f>IF(J18="V",0,IF(I18="V",E18,IF(H18="V",E18,0)))</x:f>
        <x:v>0</x:v>
      </x:c>
      <x:c r="G18" s="15"/>
      <x:c r="H18" s="11"/>
      <x:c r="I18" s="11"/>
      <x:c r="J18" s="11"/>
      <x:c r="K18" s="16" t="n">
        <x:f>IF(H18="V",F18/16*$L$2,IF(I18="V",F18/5*$L$2,0))</x:f>
        <x:v>0</x:v>
      </x:c>
      <x:c r="L18" s="16"/>
      <x:c r="M18" s="16"/>
    </x:row>
    <x:row r="19" ht="53" customHeight="1">
      <x:c r="A19" s="19"/>
      <x:c r="B19" s="12"/>
      <x:c r="C19" s="12"/>
      <x:c r="D19" s="12"/>
      <x:c r="E19" s="15"/>
      <x:c r="F19" s="15" t="n">
        <x:f>IF(J19="V",0,IF(I19="V",E19,IF(H19="V",E19,0)))</x:f>
        <x:v>0</x:v>
      </x:c>
      <x:c r="G19" s="15"/>
      <x:c r="H19" s="11"/>
      <x:c r="I19" s="11"/>
      <x:c r="J19" s="11"/>
      <x:c r="K19" s="16" t="n">
        <x:f>IF(H19="V",F19/16*$L$2,IF(I19="V",F19/5*$L$2,0))</x:f>
        <x:v>0</x:v>
      </x:c>
      <x:c r="L19" s="16"/>
      <x:c r="M19" s="16"/>
    </x:row>
    <x:row r="20" ht="53" customHeight="1">
      <x:c r="A20" s="19"/>
      <x:c r="B20" s="12"/>
      <x:c r="C20" s="12"/>
      <x:c r="D20" s="12"/>
      <x:c r="E20" s="15"/>
      <x:c r="F20" s="15" t="n">
        <x:f>IF(J20="V",0,IF(I20="V",E20,IF(H20="V",E20,0)))</x:f>
        <x:v>0</x:v>
      </x:c>
      <x:c r="G20" s="15"/>
      <x:c r="H20" s="11"/>
      <x:c r="I20" s="11"/>
      <x:c r="J20" s="11"/>
      <x:c r="K20" s="16" t="n">
        <x:f>IF(H20="V",F20/16*$L$2,IF(I20="V",F20/5*$L$2,0))</x:f>
        <x:v>0</x:v>
      </x:c>
      <x:c r="L20" s="16"/>
      <x:c r="M20" s="16"/>
    </x:row>
    <x:row r="21" ht="53" customHeight="1">
      <x:c r="A21" s="19"/>
      <x:c r="B21" s="12"/>
      <x:c r="C21" s="12"/>
      <x:c r="D21" s="12"/>
      <x:c r="E21" s="15"/>
      <x:c r="F21" s="15" t="n">
        <x:f>IF(J21="V",0,IF(I21="V",E21,IF(H21="V",E21,0)))</x:f>
        <x:v>0</x:v>
      </x:c>
      <x:c r="G21" s="15"/>
      <x:c r="H21" s="11"/>
      <x:c r="I21" s="11"/>
      <x:c r="J21" s="11"/>
      <x:c r="K21" s="16" t="n">
        <x:f>IF(H21="V",F21/16*$L$2,IF(I21="V",F21/5*$L$2,0))</x:f>
        <x:v>0</x:v>
      </x:c>
      <x:c r="L21" s="16"/>
      <x:c r="M21" s="16"/>
    </x:row>
    <x:row r="22" ht="53" customHeight="1">
      <x:c r="A22" s="19"/>
      <x:c r="B22" s="12"/>
      <x:c r="C22" s="12"/>
      <x:c r="D22" s="12"/>
      <x:c r="E22" s="15"/>
      <x:c r="F22" s="15" t="n">
        <x:f>IF(J22="V",0,IF(I22="V",E22,IF(H22="V",E22,0)))</x:f>
        <x:v>0</x:v>
      </x:c>
      <x:c r="G22" s="15"/>
      <x:c r="H22" s="11"/>
      <x:c r="I22" s="11"/>
      <x:c r="J22" s="11"/>
      <x:c r="K22" s="16" t="n">
        <x:f>IF(H22="V",F22/16*$L$2,IF(I22="V",F22/5*$L$2,0))</x:f>
        <x:v>0</x:v>
      </x:c>
      <x:c r="L22" s="16"/>
      <x:c r="M22" s="16"/>
    </x:row>
    <x:row r="23" ht="53" customHeight="1">
      <x:c r="A23" s="19"/>
      <x:c r="B23" s="12"/>
      <x:c r="C23" s="12"/>
      <x:c r="D23" s="12"/>
      <x:c r="E23" s="15"/>
      <x:c r="F23" s="15" t="n">
        <x:f>IF(J23="V",0,IF(I23="V",E23,IF(H23="V",E23,0)))</x:f>
        <x:v>0</x:v>
      </x:c>
      <x:c r="G23" s="15"/>
      <x:c r="H23" s="11"/>
      <x:c r="I23" s="11"/>
      <x:c r="J23" s="11"/>
      <x:c r="K23" s="16" t="n">
        <x:f>IF(H23="V",F23/16*$L$2,IF(I23="V",F23/5*$L$2,0))</x:f>
        <x:v>0</x:v>
      </x:c>
      <x:c r="L23" s="16"/>
      <x:c r="M23" s="16"/>
    </x:row>
    <x:row r="24" ht="53" customHeight="1">
      <x:c r="A24" s="19"/>
      <x:c r="B24" s="12"/>
      <x:c r="C24" s="12"/>
      <x:c r="D24" s="12"/>
      <x:c r="E24" s="15"/>
      <x:c r="F24" s="15" t="n">
        <x:f>IF(J24="V",0,IF(I24="V",E24,IF(H24="V",E24,0)))</x:f>
        <x:v>0</x:v>
      </x:c>
      <x:c r="G24" s="15"/>
      <x:c r="H24" s="11"/>
      <x:c r="I24" s="11"/>
      <x:c r="J24" s="11"/>
      <x:c r="K24" s="16" t="n">
        <x:f>IF(H24="V",F24/16*$L$2,IF(I24="V",F24/5*$L$2,0))</x:f>
        <x:v>0</x:v>
      </x:c>
      <x:c r="L24" s="16"/>
      <x:c r="M24" s="16"/>
    </x:row>
    <x:row r="25" ht="53" customHeight="1">
      <x:c r="A25" s="19"/>
      <x:c r="B25" s="12"/>
      <x:c r="C25" s="12"/>
      <x:c r="D25" s="12"/>
      <x:c r="E25" s="15"/>
      <x:c r="F25" s="15" t="n">
        <x:f>IF(J25="V",0,IF(I25="V",E25,IF(H25="V",E25,0)))</x:f>
        <x:v>0</x:v>
      </x:c>
      <x:c r="G25" s="15"/>
      <x:c r="H25" s="11"/>
      <x:c r="I25" s="11"/>
      <x:c r="J25" s="11"/>
      <x:c r="K25" s="16" t="n">
        <x:f>IF(H25="V",F25/16*$L$2,IF(I25="V",F25/5*$L$2,0))</x:f>
        <x:v>0</x:v>
      </x:c>
      <x:c r="L25" s="16"/>
      <x:c r="M25" s="16"/>
    </x:row>
    <x:row r="26" ht="53" customHeight="1">
      <x:c r="A26" s="19"/>
      <x:c r="B26" s="12"/>
      <x:c r="C26" s="12"/>
      <x:c r="D26" s="12"/>
      <x:c r="E26" s="15"/>
      <x:c r="F26" s="15" t="n">
        <x:f>IF(J26="V",0,IF(I26="V",E26,IF(H26="V",E26,0)))</x:f>
        <x:v>0</x:v>
      </x:c>
      <x:c r="G26" s="15"/>
      <x:c r="H26" s="11"/>
      <x:c r="I26" s="11"/>
      <x:c r="J26" s="11"/>
      <x:c r="K26" s="16" t="n">
        <x:f>IF(H26="V",F26/16*$L$2,IF(I26="V",F26/5*$L$2,0))</x:f>
        <x:v>0</x:v>
      </x:c>
      <x:c r="L26" s="16"/>
      <x:c r="M26" s="16"/>
    </x:row>
    <x:row r="27" ht="53" customHeight="1">
      <x:c r="A27" s="19"/>
      <x:c r="B27" s="12"/>
      <x:c r="C27" s="12"/>
      <x:c r="D27" s="12"/>
      <x:c r="E27" s="15"/>
      <x:c r="F27" s="15" t="n">
        <x:f>IF(J27="V",0,IF(I27="V",E27,IF(H27="V",E27,0)))</x:f>
        <x:v>0</x:v>
      </x:c>
      <x:c r="G27" s="15"/>
      <x:c r="H27" s="11"/>
      <x:c r="I27" s="11"/>
      <x:c r="J27" s="11"/>
      <x:c r="K27" s="16" t="n">
        <x:f>IF(H27="V",F27/16*$L$2,IF(I27="V",F27/5*$L$2,0))</x:f>
        <x:v>0</x:v>
      </x:c>
      <x:c r="L27" s="16"/>
      <x:c r="M27" s="16"/>
    </x:row>
    <x:row r="28" ht="53" customHeight="1">
      <x:c r="A28" s="19"/>
      <x:c r="B28" s="12"/>
      <x:c r="C28" s="12"/>
      <x:c r="D28" s="12"/>
      <x:c r="E28" s="15"/>
      <x:c r="F28" s="15" t="n">
        <x:f>IF(J28="V",0,IF(I28="V",E28,IF(H28="V",E28,0)))</x:f>
        <x:v>0</x:v>
      </x:c>
      <x:c r="G28" s="15"/>
      <x:c r="H28" s="11"/>
      <x:c r="I28" s="11"/>
      <x:c r="J28" s="11"/>
      <x:c r="K28" s="16" t="n">
        <x:f>IF(H28="V",F28/16*$L$2,IF(I28="V",F28/5*$L$2,0))</x:f>
        <x:v>0</x:v>
      </x:c>
      <x:c r="L28" s="16"/>
      <x:c r="M28" s="16"/>
    </x:row>
    <x:row r="29" ht="53" customHeight="1">
      <x:c r="A29" s="19"/>
      <x:c r="B29" s="12"/>
      <x:c r="C29" s="12"/>
      <x:c r="D29" s="12"/>
      <x:c r="E29" s="15"/>
      <x:c r="F29" s="15" t="n">
        <x:f>IF(J29="V",0,IF(I29="V",E29,IF(H29="V",E29,0)))</x:f>
        <x:v>0</x:v>
      </x:c>
      <x:c r="G29" s="15"/>
      <x:c r="H29" s="11"/>
      <x:c r="I29" s="11"/>
      <x:c r="J29" s="11"/>
      <x:c r="K29" s="16" t="n">
        <x:f>IF(H29="V",F29/16*$L$2,IF(I29="V",F29/5*$L$2,0))</x:f>
        <x:v>0</x:v>
      </x:c>
      <x:c r="L29" s="16"/>
      <x:c r="M29" s="16"/>
    </x:row>
    <x:row r="30" ht="53" customHeight="1">
      <x:c r="A30" s="19"/>
      <x:c r="B30" s="12"/>
      <x:c r="C30" s="12"/>
      <x:c r="D30" s="12"/>
      <x:c r="E30" s="15"/>
      <x:c r="F30" s="15" t="n">
        <x:f>IF(J30="V",0,IF(I30="V",E30,IF(H30="V",E30,0)))</x:f>
        <x:v>0</x:v>
      </x:c>
      <x:c r="G30" s="15"/>
      <x:c r="H30" s="11"/>
      <x:c r="I30" s="11"/>
      <x:c r="J30" s="11"/>
      <x:c r="K30" s="16" t="n">
        <x:f>IF(H30="V",F30/16*$L$2,IF(I30="V",F30/5*$L$2,0))</x:f>
        <x:v>0</x:v>
      </x:c>
      <x:c r="L30" s="16"/>
      <x:c r="M30" s="16"/>
    </x:row>
    <x:row r="31" ht="53" customHeight="1">
      <x:c r="A31" s="19"/>
      <x:c r="B31" s="12"/>
      <x:c r="C31" s="12"/>
      <x:c r="D31" s="12"/>
      <x:c r="E31" s="15"/>
      <x:c r="F31" s="15" t="n">
        <x:f>IF(J31="V",0,IF(I31="V",E31,IF(H31="V",E31,0)))</x:f>
        <x:v>0</x:v>
      </x:c>
      <x:c r="G31" s="15"/>
      <x:c r="H31" s="11"/>
      <x:c r="I31" s="11"/>
      <x:c r="J31" s="11"/>
      <x:c r="K31" s="16" t="n">
        <x:f>IF(H31="V",F31/16*$L$2,IF(I31="V",F31/5*$L$2,0))</x:f>
        <x:v>0</x:v>
      </x:c>
      <x:c r="L31" s="16"/>
      <x:c r="M31" s="16"/>
    </x:row>
    <x:row r="32" ht="53" customHeight="1">
      <x:c r="A32" s="19"/>
      <x:c r="B32" s="12"/>
      <x:c r="C32" s="12"/>
      <x:c r="D32" s="12"/>
      <x:c r="E32" s="15"/>
      <x:c r="F32" s="15" t="n">
        <x:f>IF(J32="V",0,IF(I32="V",E32,IF(H32="V",E32,0)))</x:f>
        <x:v>0</x:v>
      </x:c>
      <x:c r="G32" s="15"/>
      <x:c r="H32" s="11"/>
      <x:c r="I32" s="11"/>
      <x:c r="J32" s="11"/>
      <x:c r="K32" s="16" t="n">
        <x:f>IF(H32="V",F32/16*$L$2,IF(I32="V",F32/5*$L$2,0))</x:f>
        <x:v>0</x:v>
      </x:c>
      <x:c r="L32" s="16"/>
      <x:c r="M32" s="16"/>
    </x:row>
    <x:row r="33" ht="53" customHeight="1">
      <x:c r="A33" s="19"/>
      <x:c r="B33" s="12"/>
      <x:c r="C33" s="12"/>
      <x:c r="D33" s="12"/>
      <x:c r="E33" s="15"/>
      <x:c r="F33" s="15" t="n">
        <x:f>IF(J33="V",0,IF(I33="V",E33,IF(H33="V",E33,0)))</x:f>
        <x:v>0</x:v>
      </x:c>
      <x:c r="G33" s="15"/>
      <x:c r="H33" s="11"/>
      <x:c r="I33" s="11"/>
      <x:c r="J33" s="11"/>
      <x:c r="K33" s="16" t="n">
        <x:f>IF(H33="V",F33/16*$L$2,IF(I33="V",F33/5*$L$2,0))</x:f>
        <x:v>0</x:v>
      </x:c>
      <x:c r="L33" s="16"/>
      <x:c r="M33" s="16"/>
    </x:row>
    <x:row r="34" ht="53" customHeight="1">
      <x:c r="A34" s="19"/>
      <x:c r="B34" s="12"/>
      <x:c r="C34" s="12"/>
      <x:c r="D34" s="12"/>
      <x:c r="E34" s="15"/>
      <x:c r="F34" s="15" t="n">
        <x:f>IF(J34="V",0,IF(I34="V",E34,IF(H34="V",E34,0)))</x:f>
        <x:v>0</x:v>
      </x:c>
      <x:c r="G34" s="15"/>
      <x:c r="H34" s="11"/>
      <x:c r="I34" s="11"/>
      <x:c r="J34" s="11"/>
      <x:c r="K34" s="16" t="n">
        <x:f>IF(H34="V",F34/16*$L$2,IF(I34="V",F34/5*$L$2,0))</x:f>
        <x:v>0</x:v>
      </x:c>
      <x:c r="L34" s="16"/>
      <x:c r="M34" s="16"/>
    </x:row>
    <x:row r="35" ht="53" customHeight="1">
      <x:c r="A35" s="19"/>
      <x:c r="B35" s="12"/>
      <x:c r="C35" s="12"/>
      <x:c r="D35" s="12"/>
      <x:c r="E35" s="15"/>
      <x:c r="F35" s="15" t="n">
        <x:f>IF(J35="V",0,IF(I35="V",E35,IF(H35="V",E35,0)))</x:f>
        <x:v>0</x:v>
      </x:c>
      <x:c r="G35" s="15"/>
      <x:c r="H35" s="11"/>
      <x:c r="I35" s="11"/>
      <x:c r="J35" s="11"/>
      <x:c r="K35" s="16" t="n">
        <x:f>IF(H35="V",F35/16*$L$2,IF(I35="V",F35/5*$L$2,0))</x:f>
        <x:v>0</x:v>
      </x:c>
      <x:c r="L35" s="16"/>
      <x:c r="M35" s="16"/>
    </x:row>
    <x:row r="36" ht="53" customHeight="1">
      <x:c r="A36" s="19"/>
      <x:c r="B36" s="12"/>
      <x:c r="C36" s="12"/>
      <x:c r="D36" s="12"/>
      <x:c r="E36" s="15"/>
      <x:c r="F36" s="15" t="n">
        <x:f>IF(J36="V",0,IF(I36="V",E36,IF(H36="V",E36,0)))</x:f>
        <x:v>0</x:v>
      </x:c>
      <x:c r="G36" s="15"/>
      <x:c r="H36" s="11"/>
      <x:c r="I36" s="11"/>
      <x:c r="J36" s="11"/>
      <x:c r="K36" s="16" t="n">
        <x:f>IF(H36="V",F36/16*$L$2,IF(I36="V",F36/5*$L$2,0))</x:f>
        <x:v>0</x:v>
      </x:c>
      <x:c r="L36" s="16"/>
      <x:c r="M36" s="16"/>
    </x:row>
    <x:row r="37" ht="25" customHeight="1">
      <x:c r="A37" s="19" t="str">
        <x:v>原始總里程(僅列計自備車輛里程)</x:v>
      </x:c>
      <x:c r="B37" s="11"/>
      <x:c r="C37" s="11"/>
      <x:c r="D37" s="11"/>
      <x:c r="E37" s="15"/>
      <x:c r="F37" s="15" t="n">
        <x:f>SUM(F6:F36)</x:f>
        <x:v>0</x:v>
      </x:c>
      <x:c r="G37" s="15"/>
      <x:c r="H37" s="11"/>
      <x:c r="I37" s="11"/>
      <x:c r="J37" s="11"/>
      <x:c r="K37" s="16"/>
      <x:c r="L37" s="16"/>
      <x:c r="M37" s="16"/>
    </x:row>
    <x:row r="38" ht="25" customHeight="1">
      <x:c r="A38" s="19"/>
      <x:c r="B38" s="11"/>
      <x:c r="C38" s="11"/>
      <x:c r="D38" s="11"/>
      <x:c r="E38" s="15"/>
      <x:c r="F38" s="15"/>
      <x:c r="G38" s="15"/>
      <x:c r="H38" s="11"/>
      <x:c r="I38" s="11"/>
      <x:c r="J38" s="11"/>
      <x:c r="K38" s="16" t="n">
        <x:f>IF(H38="V",F38/16*$L$2,IF(I38="V",F38/5*$L$2,0))</x:f>
        <x:v>0</x:v>
      </x:c>
      <x:c r="L38" s="16"/>
      <x:c r="M38" s="16"/>
    </x:row>
    <x:row r="39" ht="25" customHeight="1">
      <x:c r="A39" s="19"/>
      <x:c r="B39" s="11"/>
      <x:c r="C39" s="11"/>
      <x:c r="D39" s="11"/>
      <x:c r="E39" s="15"/>
      <x:c r="F39" s="15"/>
      <x:c r="G39" s="15"/>
      <x:c r="H39" s="11"/>
      <x:c r="I39" s="11"/>
      <x:c r="J39" s="11"/>
      <x:c r="K39" s="16" t="n">
        <x:f>IF(H39="V",F39/16*$L$2,IF(I39="V",F39/5*$L$2,0))</x:f>
        <x:v>0</x:v>
      </x:c>
      <x:c r="L39" s="16"/>
      <x:c r="M39" s="16"/>
    </x:row>
    <x:row r="40" ht="25" customHeight="1">
      <x:c r="A40" s="11" t="str">
        <x:v>調整之里程占比</x:v>
      </x:c>
      <x:c r="B40" s="11"/>
      <x:c r="C40" s="11"/>
      <x:c r="D40" s="11"/>
      <x:c r="E40" s="15"/>
      <x:c r="F40" s="13" t="n">
        <x:f>IF(F37=0,0,SUM(F38:F39)/F37)</x:f>
        <x:v>0</x:v>
      </x:c>
      <x:c r="G40" s="15"/>
      <x:c r="H40" s="11"/>
      <x:c r="I40" s="11"/>
      <x:c r="J40" s="11"/>
      <x:c r="K40" s="16"/>
      <x:c r="L40" s="16"/>
      <x:c r="M40" s="16"/>
    </x:row>
    <x:row r="41" ht="37" customHeight="1">
      <x:c r="A41" s="14" t="str">
        <x:v>備註：
1.申請人自後台下載油資總表後，依報表紀錄填寫此申請表，如需調整里程數者，請詳註調整原因。(調整總數以當月「自備車輛」總里程數5%為上限)
2.自備車輛油料補助：汽車為5公里/公升，機車為16公里/公升。
3.申請etag費用及其他訪銷雜支費用項目，應檢附相關證明，並由主管簽核。
4.使用公務車輛執行訪銷作業者，該段里程不予提供油料補助費用。
5.各營業處(所)應辦理不定期抽查，經查證後如屬提報不實情況，除依相關規定議處外，亦應追討相關補助費用。</x:v>
      </x:c>
      <x:c r="B41" s="14"/>
      <x:c r="C41" s="14"/>
      <x:c r="D41" s="14"/>
      <x:c r="E41" s="14"/>
      <x:c r="F41" s="14"/>
      <x:c r="G41" s="14"/>
      <x:c r="H41" s="14"/>
      <x:c r="I41" s="12" t="str">
        <x:v>油料費總計(A)</x:v>
      </x:c>
      <x:c r="J41" s="12"/>
      <x:c r="K41" s="17"/>
      <x:c r="L41" s="17"/>
      <x:c r="M41" s="16" t="n">
        <x:f>SUM(K6:K39)</x:f>
        <x:v>0</x:v>
      </x:c>
    </x:row>
    <x:row r="42" ht="37" customHeight="1">
      <x:c r="A42" s="14"/>
      <x:c r="B42" s="14"/>
      <x:c r="C42" s="14"/>
      <x:c r="D42" s="14"/>
      <x:c r="E42" s="14"/>
      <x:c r="F42" s="14"/>
      <x:c r="G42" s="14"/>
      <x:c r="H42" s="14"/>
      <x:c r="I42" s="12" t="str">
        <x:v>etag費用總計(B)</x:v>
      </x:c>
      <x:c r="J42" s="12"/>
      <x:c r="K42" s="17"/>
      <x:c r="L42" s="17"/>
      <x:c r="M42" s="16" t="n">
        <x:f>SUM(L6:L39)</x:f>
        <x:v>0</x:v>
      </x:c>
    </x:row>
    <x:row r="43" ht="37" customHeight="1">
      <x:c r="A43" s="14"/>
      <x:c r="B43" s="14"/>
      <x:c r="C43" s="14"/>
      <x:c r="D43" s="14"/>
      <x:c r="E43" s="14"/>
      <x:c r="F43" s="14"/>
      <x:c r="G43" s="14"/>
      <x:c r="H43" s="14"/>
      <x:c r="I43" s="12" t="str">
        <x:v>其他訪銷雜支費用總計(C)</x:v>
      </x:c>
      <x:c r="J43" s="12"/>
      <x:c r="K43" s="17"/>
      <x:c r="L43" s="17"/>
      <x:c r="M43" s="16" t="n">
        <x:f>SUM(M6:M39)</x:f>
        <x:v>0</x:v>
      </x:c>
    </x:row>
    <x:row r="44" ht="37" customHeight="1">
      <x:c r="A44" s="14"/>
      <x:c r="B44" s="14"/>
      <x:c r="C44" s="14"/>
      <x:c r="D44" s="14"/>
      <x:c r="E44" s="14"/>
      <x:c r="F44" s="14"/>
      <x:c r="G44" s="14"/>
      <x:c r="H44" s="14"/>
      <x:c r="I44" s="12" t="str">
        <x:v>本次申請費用加總(D=A+B+C)</x:v>
      </x:c>
      <x:c r="J44" s="12"/>
      <x:c r="K44" s="17"/>
      <x:c r="L44" s="17"/>
      <x:c r="M44" s="16" t="n">
        <x:f>SUM(M41:M43)</x:f>
        <x:v>0</x:v>
      </x:c>
    </x:row>
    <x:row r="45" ht="25" customHeight="1">
      <x:c r="A45" s="11" t="str">
        <x:v>申請人                       承辦人                          單位主管</x:v>
      </x:c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</x:row>
  </x:sheetData>
  <x:mergeCells>
    <x:mergeCell ref="A1:M1"/>
    <x:mergeCell ref="A2:G2"/>
    <x:mergeCell ref="H2:K2"/>
    <x:mergeCell ref="A3:M3"/>
    <x:mergeCell ref="A4:A5"/>
    <x:mergeCell ref="B4:D5"/>
    <x:mergeCell ref="E4:E5"/>
    <x:mergeCell ref="F4:F5"/>
    <x:mergeCell ref="G4:G5"/>
    <x:mergeCell ref="H4:J4"/>
    <x:mergeCell ref="K4:K5"/>
    <x:mergeCell ref="L4:L5"/>
    <x:mergeCell ref="M4:M5"/>
    <x:mergeCell ref="A37:E37"/>
    <x:mergeCell ref="A40:E40"/>
    <x:mergeCell ref="A41:H44"/>
    <x:mergeCell ref="I41:L41"/>
    <x:mergeCell ref="I42:L42"/>
    <x:mergeCell ref="I43:L43"/>
    <x:mergeCell ref="I44:L44"/>
    <x:mergeCell ref="A45:M4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B14:D14"/>
    <x:mergeCell ref="B15:D15"/>
    <x:mergeCell ref="B16:D16"/>
    <x:mergeCell ref="B17:D17"/>
    <x:mergeCell ref="B18:D18"/>
    <x:mergeCell ref="B19:D19"/>
    <x:mergeCell ref="B20:D20"/>
    <x:mergeCell ref="B21:D21"/>
    <x:mergeCell ref="B22:D22"/>
    <x:mergeCell ref="B23:D23"/>
    <x:mergeCell ref="B24:D24"/>
    <x:mergeCell ref="B25:D25"/>
    <x:mergeCell ref="B26:D26"/>
    <x:mergeCell ref="B27:D27"/>
    <x:mergeCell ref="B28:D28"/>
    <x:mergeCell ref="B29:D29"/>
    <x:mergeCell ref="B30:D30"/>
    <x:mergeCell ref="B31:D31"/>
    <x:mergeCell ref="B32:D32"/>
    <x:mergeCell ref="B33:D33"/>
    <x:mergeCell ref="B34:D34"/>
    <x:mergeCell ref="B35:D35"/>
    <x:mergeCell ref="B36:D36"/>
    <x:mergeCell ref="B38:E38"/>
    <x:mergeCell ref="B39:E39"/>
  </x:mergeCells>
  <x:dataValidations count="1">
    <x:dataValidation type="list" sqref="H6:J39">
      <x:formula1>"V"</x:formula1>
    </x:dataValidation>
  </x:dataValidations>
  <x:pageMargins left="0.7" right="0.7" top="0.75" bottom="0.75" header="0.3" footer="0.3"/>
</x:worksheet>
</file>